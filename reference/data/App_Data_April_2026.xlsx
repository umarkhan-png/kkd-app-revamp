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5"/>
    <sheet state="visible" name="Users" sheetId="2" r:id="rId6"/>
    <sheet state="visible" name="Sheet4" sheetId="3" r:id="rId7"/>
  </sheets>
  <definedNames/>
  <calcPr/>
</workbook>
</file>

<file path=xl/sharedStrings.xml><?xml version="1.0" encoding="utf-8"?>
<sst xmlns="http://schemas.openxmlformats.org/spreadsheetml/2006/main" count="92" uniqueCount="79">
  <si>
    <t>Products Sales</t>
  </si>
  <si>
    <t>Category</t>
  </si>
  <si>
    <t>Payment_mode</t>
  </si>
  <si>
    <t>Offer</t>
  </si>
  <si>
    <t>Katyayani Parichay Offer:- 1.  free sample on app &gt;=2500 prepaid 
2. free sample in prepaid order on thursday and friday on specific products</t>
  </si>
  <si>
    <t>Product</t>
  </si>
  <si>
    <t>Revenue</t>
  </si>
  <si>
    <t>Orders</t>
  </si>
  <si>
    <t>Payment Type</t>
  </si>
  <si>
    <t>Sales</t>
  </si>
  <si>
    <t>Sales %</t>
  </si>
  <si>
    <t>Orders %</t>
  </si>
  <si>
    <t>Activated Humic Acid + Fulvic Acid 98</t>
  </si>
  <si>
    <t>Pesticide</t>
  </si>
  <si>
    <t>COD</t>
  </si>
  <si>
    <t>Chakrawarti (Thiamethoxam 12.6%)</t>
  </si>
  <si>
    <t>Fertilizer</t>
  </si>
  <si>
    <t>Prepaid</t>
  </si>
  <si>
    <t>Chakraveer (Chlorantraniliprole 18.5%)</t>
  </si>
  <si>
    <t>Fungicide</t>
  </si>
  <si>
    <t>Total</t>
  </si>
  <si>
    <t>Antivirus</t>
  </si>
  <si>
    <t>Combo</t>
  </si>
  <si>
    <t>Bhannat</t>
  </si>
  <si>
    <t>Herbicide</t>
  </si>
  <si>
    <t>NPK 19 19 19</t>
  </si>
  <si>
    <t>Katyayani Triple Attack Liquid</t>
  </si>
  <si>
    <t>K-Ortho (OSA 2%)</t>
  </si>
  <si>
    <t>NPK 00 52 34</t>
  </si>
  <si>
    <t>Seaweed Extract Liquid</t>
  </si>
  <si>
    <t>Katyayani Azodharma</t>
  </si>
  <si>
    <t>Katyayani EMA 5</t>
  </si>
  <si>
    <t>Plantivo</t>
  </si>
  <si>
    <t>Katyayani Activated Neem Oil</t>
  </si>
  <si>
    <t>Bhumiraja (Mycorrhiza)</t>
  </si>
  <si>
    <t>Cart Abd rate(entire Apr month conversion)</t>
  </si>
  <si>
    <t>users</t>
  </si>
  <si>
    <t>% change</t>
  </si>
  <si>
    <t>Add to Cart</t>
  </si>
  <si>
    <t>Checkout users</t>
  </si>
  <si>
    <t>Abandoend users</t>
  </si>
  <si>
    <t>User Journey(1 week conversion)</t>
  </si>
  <si>
    <t>App Launch</t>
  </si>
  <si>
    <t>Product View</t>
  </si>
  <si>
    <t>Add To Cart</t>
  </si>
  <si>
    <t>Checkout Started</t>
  </si>
  <si>
    <t>Product Purchase</t>
  </si>
  <si>
    <t>LANGUAGE</t>
  </si>
  <si>
    <t>Users</t>
  </si>
  <si>
    <t>Drop Users</t>
  </si>
  <si>
    <t>Drop %</t>
  </si>
  <si>
    <t>Hindi</t>
  </si>
  <si>
    <t>App Installs(play console)</t>
  </si>
  <si>
    <t>English</t>
  </si>
  <si>
    <t>First App OPen</t>
  </si>
  <si>
    <t>Marathi</t>
  </si>
  <si>
    <t>Registration Complete</t>
  </si>
  <si>
    <t>Kannada</t>
  </si>
  <si>
    <t>Add to cart</t>
  </si>
  <si>
    <t>Telugu</t>
  </si>
  <si>
    <t>Order Placed</t>
  </si>
  <si>
    <t>Tamil</t>
  </si>
  <si>
    <t>Bengali</t>
  </si>
  <si>
    <t>Malayalam</t>
  </si>
  <si>
    <t>Odia</t>
  </si>
  <si>
    <t>Avg. Day to purchase(first open to purchase)</t>
  </si>
  <si>
    <t>Day</t>
  </si>
  <si>
    <t>Total Cohort</t>
  </si>
  <si>
    <t>All cohorts</t>
  </si>
  <si>
    <t>Avg. Days</t>
  </si>
  <si>
    <t>Same Day Conv.</t>
  </si>
  <si>
    <t>of total users conv.</t>
  </si>
  <si>
    <t>AOV</t>
  </si>
  <si>
    <t>Purchase Frequency</t>
  </si>
  <si>
    <t>%</t>
  </si>
  <si>
    <t>Single Purchase</t>
  </si>
  <si>
    <t>Repeat pur. in apr</t>
  </si>
  <si>
    <t>Total Users Purchase</t>
  </si>
  <si>
    <t>Purchase Frequency(orders)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</si>
</sst>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"/>
    <numFmt numFmtId="165" formatCode="0.0"/>
    <numFmt numFmtId="166" formatCode="₹#,##0"/>
  </numFmts>
  <fonts count="8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10" xfId="0" applyFont="1" applyNumberFormat="1"/>
    <xf borderId="0" fillId="0" fontId="6" numFmtId="0" xfId="0" applyAlignment="1" applyFont="1">
      <alignment readingOrder="0"/>
    </xf>
    <xf borderId="0" fillId="0" fontId="4" numFmtId="3" xfId="0" applyFont="1" applyNumberFormat="1"/>
    <xf borderId="0" fillId="0" fontId="4" numFmtId="3" xfId="0" applyFont="1" applyNumberFormat="1"/>
    <xf borderId="0" fillId="0" fontId="4" numFmtId="0" xfId="0" applyFont="1"/>
    <xf borderId="1" fillId="0" fontId="3" numFmtId="0" xfId="0" applyAlignment="1" applyBorder="1" applyFont="1">
      <alignment readingOrder="0"/>
    </xf>
    <xf borderId="1" fillId="0" fontId="4" numFmtId="165" xfId="0" applyBorder="1" applyFont="1" applyNumberFormat="1"/>
    <xf borderId="1" fillId="0" fontId="4" numFmtId="10" xfId="0" applyBorder="1" applyFont="1" applyNumberFormat="1"/>
    <xf borderId="0" fillId="0" fontId="7" numFmtId="0" xfId="0" applyAlignment="1" applyFont="1">
      <alignment vertical="bottom"/>
    </xf>
    <xf borderId="0" fillId="0" fontId="7" numFmtId="166" xfId="0" applyAlignment="1" applyFont="1" applyNumberFormat="1">
      <alignment vertical="bottom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63"/>
    <col customWidth="1" min="5" max="5" width="20.88"/>
  </cols>
  <sheetData>
    <row r="1">
      <c r="A1" s="1" t="s">
        <v>0</v>
      </c>
      <c r="D1" s="1" t="s">
        <v>1</v>
      </c>
      <c r="H1" s="1" t="s">
        <v>2</v>
      </c>
      <c r="N1" s="2" t="s">
        <v>3</v>
      </c>
      <c r="O1" s="3" t="s">
        <v>4</v>
      </c>
    </row>
    <row r="2">
      <c r="A2" s="4" t="s">
        <v>5</v>
      </c>
      <c r="B2" s="4" t="s">
        <v>6</v>
      </c>
      <c r="C2" s="4" t="s">
        <v>7</v>
      </c>
      <c r="E2" s="3" t="s">
        <v>1</v>
      </c>
      <c r="F2" s="3" t="s">
        <v>6</v>
      </c>
      <c r="G2" s="3" t="s">
        <v>7</v>
      </c>
      <c r="I2" s="3" t="s">
        <v>8</v>
      </c>
      <c r="J2" s="3" t="s">
        <v>9</v>
      </c>
      <c r="K2" s="3" t="s">
        <v>10</v>
      </c>
      <c r="L2" s="3" t="s">
        <v>7</v>
      </c>
      <c r="M2" s="3" t="s">
        <v>11</v>
      </c>
    </row>
    <row r="3">
      <c r="A3" s="5" t="s">
        <v>12</v>
      </c>
      <c r="B3" s="5">
        <v>2641518.0</v>
      </c>
      <c r="C3" s="6">
        <v>2020.0</v>
      </c>
      <c r="E3" s="5" t="s">
        <v>13</v>
      </c>
      <c r="F3" s="5">
        <v>5120554.0</v>
      </c>
      <c r="G3" s="6">
        <v>6296.0</v>
      </c>
      <c r="I3" s="5" t="s">
        <v>14</v>
      </c>
      <c r="J3" s="5">
        <v>9496370.0</v>
      </c>
      <c r="K3" s="7">
        <v>0.835</v>
      </c>
      <c r="L3" s="6">
        <v>8745.0</v>
      </c>
      <c r="M3" s="7">
        <v>0.85</v>
      </c>
    </row>
    <row r="4">
      <c r="A4" s="5" t="s">
        <v>15</v>
      </c>
      <c r="B4" s="5">
        <v>1459380.0</v>
      </c>
      <c r="C4" s="6">
        <v>2643.0</v>
      </c>
      <c r="E4" s="5" t="s">
        <v>16</v>
      </c>
      <c r="F4" s="5">
        <v>5107220.0</v>
      </c>
      <c r="G4" s="6">
        <v>4620.0</v>
      </c>
      <c r="I4" s="5" t="s">
        <v>17</v>
      </c>
      <c r="J4" s="5">
        <v>1882305.0</v>
      </c>
      <c r="K4" s="7">
        <v>0.165</v>
      </c>
      <c r="L4" s="6">
        <v>1548.0</v>
      </c>
      <c r="M4" s="7">
        <v>0.15</v>
      </c>
    </row>
    <row r="5">
      <c r="A5" s="5" t="s">
        <v>18</v>
      </c>
      <c r="B5" s="5">
        <v>1201273.0</v>
      </c>
      <c r="C5" s="6">
        <v>1185.0</v>
      </c>
      <c r="E5" s="5" t="s">
        <v>19</v>
      </c>
      <c r="F5" s="5">
        <v>739858.0</v>
      </c>
      <c r="G5" s="5">
        <v>840.0</v>
      </c>
      <c r="I5" s="5" t="s">
        <v>20</v>
      </c>
      <c r="J5" s="5">
        <v>1.1378675E7</v>
      </c>
      <c r="K5" s="8">
        <v>1.0</v>
      </c>
      <c r="L5" s="6">
        <v>10293.0</v>
      </c>
      <c r="M5" s="8">
        <v>1.0</v>
      </c>
    </row>
    <row r="6">
      <c r="A6" s="5" t="s">
        <v>21</v>
      </c>
      <c r="B6" s="5">
        <v>703051.0</v>
      </c>
      <c r="C6" s="6">
        <v>1726.0</v>
      </c>
      <c r="E6" s="5" t="s">
        <v>22</v>
      </c>
      <c r="F6" s="5">
        <v>329653.0</v>
      </c>
      <c r="G6" s="5">
        <v>636.0</v>
      </c>
    </row>
    <row r="7">
      <c r="A7" s="5" t="s">
        <v>23</v>
      </c>
      <c r="B7" s="5">
        <v>387831.0</v>
      </c>
      <c r="C7" s="5">
        <v>848.0</v>
      </c>
      <c r="E7" s="5" t="s">
        <v>24</v>
      </c>
      <c r="F7" s="6">
        <v>81191.0</v>
      </c>
      <c r="G7" s="5">
        <v>58.0</v>
      </c>
    </row>
    <row r="8">
      <c r="A8" s="5" t="s">
        <v>25</v>
      </c>
      <c r="B8" s="5">
        <v>292389.0</v>
      </c>
      <c r="C8" s="5">
        <v>349.0</v>
      </c>
      <c r="F8" s="9"/>
      <c r="G8" s="10"/>
    </row>
    <row r="9">
      <c r="A9" s="5" t="s">
        <v>26</v>
      </c>
      <c r="B9" s="5">
        <v>291932.0</v>
      </c>
      <c r="C9" s="5">
        <v>450.0</v>
      </c>
    </row>
    <row r="10">
      <c r="A10" s="5" t="s">
        <v>27</v>
      </c>
      <c r="B10" s="5">
        <v>243854.0</v>
      </c>
      <c r="C10" s="5">
        <v>420.0</v>
      </c>
      <c r="I10" s="4"/>
      <c r="J10" s="4"/>
      <c r="K10" s="4"/>
      <c r="L10" s="4"/>
      <c r="M10" s="4"/>
      <c r="N10" s="4"/>
    </row>
    <row r="11">
      <c r="A11" s="5" t="s">
        <v>28</v>
      </c>
      <c r="B11" s="5">
        <v>182767.0</v>
      </c>
      <c r="C11" s="5">
        <v>185.0</v>
      </c>
      <c r="K11" s="7"/>
      <c r="L11" s="6"/>
      <c r="M11" s="7"/>
    </row>
    <row r="12">
      <c r="A12" s="5" t="s">
        <v>29</v>
      </c>
      <c r="B12" s="5">
        <v>182744.0</v>
      </c>
      <c r="C12" s="5">
        <v>281.0</v>
      </c>
      <c r="E12" s="4"/>
      <c r="F12" s="4"/>
      <c r="G12" s="4"/>
      <c r="H12" s="4"/>
      <c r="K12" s="7"/>
      <c r="L12" s="6"/>
      <c r="M12" s="7"/>
    </row>
    <row r="13">
      <c r="A13" s="5" t="s">
        <v>30</v>
      </c>
      <c r="B13" s="5">
        <v>162806.0</v>
      </c>
      <c r="C13" s="5">
        <v>203.0</v>
      </c>
      <c r="G13" s="6"/>
      <c r="K13" s="8"/>
      <c r="L13" s="6"/>
      <c r="M13" s="8"/>
    </row>
    <row r="14">
      <c r="A14" s="5" t="s">
        <v>31</v>
      </c>
      <c r="B14" s="5">
        <v>153708.0</v>
      </c>
      <c r="C14" s="5">
        <v>200.0</v>
      </c>
      <c r="G14" s="6"/>
      <c r="I14" s="4"/>
    </row>
    <row r="15">
      <c r="A15" s="5" t="s">
        <v>32</v>
      </c>
      <c r="B15" s="5">
        <v>132616.0</v>
      </c>
      <c r="C15" s="5">
        <v>107.0</v>
      </c>
    </row>
    <row r="16">
      <c r="A16" s="5" t="s">
        <v>33</v>
      </c>
      <c r="B16" s="5">
        <v>122536.0</v>
      </c>
      <c r="C16" s="5">
        <v>386.0</v>
      </c>
    </row>
    <row r="17">
      <c r="A17" s="5" t="s">
        <v>34</v>
      </c>
      <c r="B17" s="5">
        <v>108792.0</v>
      </c>
      <c r="C17" s="5">
        <v>113.0</v>
      </c>
      <c r="F17" s="6"/>
    </row>
    <row r="20">
      <c r="A20" s="2" t="s">
        <v>35</v>
      </c>
      <c r="B20" s="11" t="s">
        <v>36</v>
      </c>
      <c r="C20" s="11" t="s">
        <v>37</v>
      </c>
    </row>
    <row r="21">
      <c r="A21" s="5" t="s">
        <v>38</v>
      </c>
      <c r="B21" s="10">
        <v>17618.0</v>
      </c>
    </row>
    <row r="22">
      <c r="A22" s="5" t="s">
        <v>39</v>
      </c>
      <c r="B22" s="10">
        <v>16237.0</v>
      </c>
      <c r="C22" s="12">
        <f t="shared" ref="C22:C23" si="1">B22/B21-1</f>
        <v>-0.07838574185</v>
      </c>
    </row>
    <row r="23">
      <c r="A23" s="5" t="s">
        <v>40</v>
      </c>
      <c r="B23" s="10">
        <v>7825.0</v>
      </c>
      <c r="C23" s="12">
        <f t="shared" si="1"/>
        <v>-0.5180759993</v>
      </c>
    </row>
    <row r="24">
      <c r="B24" s="12"/>
    </row>
    <row r="26">
      <c r="A26" s="2" t="s">
        <v>41</v>
      </c>
      <c r="B26" s="13" t="s">
        <v>36</v>
      </c>
      <c r="C26" s="11" t="s">
        <v>37</v>
      </c>
    </row>
    <row r="27">
      <c r="A27" s="5" t="s">
        <v>42</v>
      </c>
      <c r="B27" s="6">
        <v>82214.0</v>
      </c>
    </row>
    <row r="28">
      <c r="A28" s="5" t="s">
        <v>43</v>
      </c>
      <c r="B28" s="6">
        <v>36209.0</v>
      </c>
      <c r="C28" s="12">
        <f t="shared" ref="C28:C31" si="2">B28/B27-1</f>
        <v>-0.5595762279</v>
      </c>
    </row>
    <row r="29">
      <c r="A29" s="5" t="s">
        <v>44</v>
      </c>
      <c r="B29" s="6">
        <v>14090.0</v>
      </c>
      <c r="C29" s="12">
        <f t="shared" si="2"/>
        <v>-0.6108702256</v>
      </c>
    </row>
    <row r="30">
      <c r="A30" s="5" t="s">
        <v>45</v>
      </c>
      <c r="B30" s="6">
        <v>11726.0</v>
      </c>
      <c r="C30" s="12">
        <f t="shared" si="2"/>
        <v>-0.1677785664</v>
      </c>
    </row>
    <row r="31">
      <c r="A31" s="5" t="s">
        <v>46</v>
      </c>
      <c r="B31" s="6">
        <v>6190.0</v>
      </c>
      <c r="C31" s="12">
        <f t="shared" si="2"/>
        <v>-0.4721132526</v>
      </c>
      <c r="E31" s="6"/>
    </row>
    <row r="32">
      <c r="A32" s="6"/>
      <c r="E32" s="6"/>
    </row>
    <row r="33">
      <c r="A33" s="6"/>
      <c r="E33" s="6"/>
    </row>
    <row r="34">
      <c r="A34" s="6"/>
      <c r="E34" s="6"/>
    </row>
    <row r="35">
      <c r="A35" s="6"/>
      <c r="E35" s="6"/>
    </row>
    <row r="36">
      <c r="A3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0.0"/>
    <col customWidth="1" min="2" max="2" width="17.38"/>
  </cols>
  <sheetData>
    <row r="1">
      <c r="G1" s="3" t="s">
        <v>47</v>
      </c>
      <c r="H1" s="3" t="s">
        <v>36</v>
      </c>
    </row>
    <row r="2">
      <c r="B2" s="3" t="s">
        <v>48</v>
      </c>
      <c r="C2" s="3" t="s">
        <v>49</v>
      </c>
      <c r="D2" s="3" t="s">
        <v>50</v>
      </c>
      <c r="G2" s="5" t="s">
        <v>51</v>
      </c>
      <c r="H2" s="5">
        <v>96430.0</v>
      </c>
    </row>
    <row r="3">
      <c r="A3" s="5" t="s">
        <v>52</v>
      </c>
      <c r="B3" s="10">
        <v>47038.0</v>
      </c>
      <c r="G3" s="5" t="s">
        <v>53</v>
      </c>
      <c r="H3" s="5">
        <v>103247.0</v>
      </c>
    </row>
    <row r="4">
      <c r="A4" s="5" t="s">
        <v>54</v>
      </c>
      <c r="B4" s="10">
        <v>40241.0</v>
      </c>
      <c r="C4" s="14">
        <f t="shared" ref="C4:C7" si="1">B3-B4</f>
        <v>6797</v>
      </c>
      <c r="D4" s="12">
        <f t="shared" ref="D4:D7" si="2">B4/B3-1</f>
        <v>-0.1445001913</v>
      </c>
      <c r="G4" s="5" t="s">
        <v>55</v>
      </c>
      <c r="H4" s="5">
        <v>10613.0</v>
      </c>
    </row>
    <row r="5">
      <c r="A5" s="5" t="s">
        <v>56</v>
      </c>
      <c r="B5" s="10">
        <v>26849.0</v>
      </c>
      <c r="C5" s="14">
        <f t="shared" si="1"/>
        <v>13392</v>
      </c>
      <c r="D5" s="12">
        <f t="shared" si="2"/>
        <v>-0.3327949107</v>
      </c>
      <c r="G5" s="5" t="s">
        <v>57</v>
      </c>
      <c r="H5" s="5">
        <v>4345.0</v>
      </c>
    </row>
    <row r="6">
      <c r="A6" s="5" t="s">
        <v>58</v>
      </c>
      <c r="B6" s="10">
        <v>8627.0</v>
      </c>
      <c r="C6" s="14">
        <f t="shared" si="1"/>
        <v>18222</v>
      </c>
      <c r="D6" s="12">
        <f t="shared" si="2"/>
        <v>-0.6786844948</v>
      </c>
      <c r="G6" s="5" t="s">
        <v>59</v>
      </c>
      <c r="H6" s="5">
        <v>7661.0</v>
      </c>
    </row>
    <row r="7">
      <c r="A7" s="5" t="s">
        <v>60</v>
      </c>
      <c r="B7" s="10">
        <v>3608.0</v>
      </c>
      <c r="C7" s="14">
        <f t="shared" si="1"/>
        <v>5019</v>
      </c>
      <c r="D7" s="12">
        <f t="shared" si="2"/>
        <v>-0.5817781384</v>
      </c>
      <c r="G7" s="5" t="s">
        <v>61</v>
      </c>
      <c r="H7" s="5">
        <v>2003.0</v>
      </c>
    </row>
    <row r="8">
      <c r="G8" s="5" t="s">
        <v>62</v>
      </c>
      <c r="H8" s="5">
        <v>12262.0</v>
      </c>
    </row>
    <row r="9">
      <c r="G9" s="5" t="s">
        <v>63</v>
      </c>
      <c r="H9" s="5">
        <v>724.0</v>
      </c>
    </row>
    <row r="10">
      <c r="G10" s="5" t="s">
        <v>64</v>
      </c>
      <c r="H10" s="5">
        <v>3366.0</v>
      </c>
    </row>
    <row r="11" collapsed="1">
      <c r="A11" s="3" t="s">
        <v>65</v>
      </c>
      <c r="C11" s="3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idden="1" outlineLevel="1">
      <c r="C12" s="3" t="s">
        <v>66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idden="1" outlineLevel="1">
      <c r="B13" s="3" t="s">
        <v>67</v>
      </c>
      <c r="C13" s="5">
        <v>0.0</v>
      </c>
      <c r="D13" s="5">
        <v>1.0</v>
      </c>
      <c r="E13" s="5">
        <v>2.0</v>
      </c>
      <c r="F13" s="5">
        <v>3.0</v>
      </c>
      <c r="G13" s="5">
        <v>4.0</v>
      </c>
      <c r="H13" s="5">
        <v>5.0</v>
      </c>
      <c r="I13" s="5">
        <v>6.0</v>
      </c>
      <c r="J13" s="5">
        <v>7.0</v>
      </c>
      <c r="K13" s="5">
        <v>8.0</v>
      </c>
      <c r="L13" s="5">
        <v>9.0</v>
      </c>
      <c r="M13" s="5">
        <v>10.0</v>
      </c>
      <c r="N13" s="5">
        <v>11.0</v>
      </c>
      <c r="O13" s="5">
        <v>12.0</v>
      </c>
      <c r="P13" s="5">
        <v>13.0</v>
      </c>
      <c r="Q13" s="5">
        <v>14.0</v>
      </c>
      <c r="R13" s="5">
        <v>15.0</v>
      </c>
      <c r="S13" s="5">
        <v>16.0</v>
      </c>
      <c r="T13" s="5">
        <v>17.0</v>
      </c>
      <c r="U13" s="5">
        <v>18.0</v>
      </c>
      <c r="V13" s="5">
        <v>19.0</v>
      </c>
      <c r="W13" s="5">
        <v>20.0</v>
      </c>
      <c r="X13" s="5">
        <v>21.0</v>
      </c>
      <c r="Y13" s="5">
        <v>22.0</v>
      </c>
      <c r="Z13" s="5">
        <v>23.0</v>
      </c>
      <c r="AA13" s="5">
        <v>24.0</v>
      </c>
      <c r="AB13" s="5">
        <v>25.0</v>
      </c>
      <c r="AC13" s="5">
        <v>26.0</v>
      </c>
      <c r="AD13" s="5">
        <v>27.0</v>
      </c>
      <c r="AE13" s="5">
        <v>28.0</v>
      </c>
      <c r="AF13" s="5">
        <v>29.0</v>
      </c>
    </row>
    <row r="14" hidden="1" outlineLevel="1">
      <c r="A14" s="3" t="s">
        <v>68</v>
      </c>
      <c r="B14" s="5">
        <v>41060.0</v>
      </c>
      <c r="C14" s="15">
        <v>2014.0</v>
      </c>
      <c r="D14" s="16">
        <v>514.0</v>
      </c>
      <c r="E14" s="16">
        <v>303.0</v>
      </c>
      <c r="F14" s="16">
        <v>193.0</v>
      </c>
      <c r="G14" s="16">
        <v>181.0</v>
      </c>
      <c r="H14" s="16">
        <v>154.0</v>
      </c>
      <c r="I14" s="16">
        <v>164.0</v>
      </c>
      <c r="J14" s="16">
        <v>161.0</v>
      </c>
      <c r="K14" s="16">
        <v>121.0</v>
      </c>
      <c r="L14" s="16">
        <v>86.0</v>
      </c>
      <c r="M14" s="16">
        <v>86.0</v>
      </c>
      <c r="N14" s="16">
        <v>85.0</v>
      </c>
      <c r="O14" s="16">
        <v>89.0</v>
      </c>
      <c r="P14" s="16">
        <v>78.0</v>
      </c>
      <c r="Q14" s="16">
        <v>64.0</v>
      </c>
      <c r="R14" s="16">
        <v>61.0</v>
      </c>
      <c r="S14" s="16">
        <v>38.0</v>
      </c>
      <c r="T14" s="16">
        <v>56.0</v>
      </c>
      <c r="U14" s="16">
        <v>43.0</v>
      </c>
      <c r="V14" s="16">
        <v>44.0</v>
      </c>
      <c r="W14" s="16">
        <v>32.0</v>
      </c>
      <c r="X14" s="16">
        <v>29.0</v>
      </c>
      <c r="Y14" s="16">
        <v>21.0</v>
      </c>
      <c r="Z14" s="16">
        <v>22.0</v>
      </c>
      <c r="AA14" s="16">
        <v>16.0</v>
      </c>
      <c r="AB14" s="16">
        <v>7.0</v>
      </c>
      <c r="AC14" s="16">
        <v>16.0</v>
      </c>
      <c r="AD14" s="16">
        <v>10.0</v>
      </c>
      <c r="AE14" s="16">
        <v>5.0</v>
      </c>
      <c r="AF14" s="16">
        <v>4.0</v>
      </c>
    </row>
    <row r="15" hidden="1" outlineLevel="1">
      <c r="B15" s="17" t="s">
        <v>7</v>
      </c>
      <c r="C15" s="15">
        <f>C14</f>
        <v>2014</v>
      </c>
      <c r="D15" s="16">
        <f t="shared" ref="D15:AF15" si="3">(D13*D14)</f>
        <v>514</v>
      </c>
      <c r="E15" s="16">
        <f t="shared" si="3"/>
        <v>606</v>
      </c>
      <c r="F15" s="16">
        <f t="shared" si="3"/>
        <v>579</v>
      </c>
      <c r="G15" s="16">
        <f t="shared" si="3"/>
        <v>724</v>
      </c>
      <c r="H15" s="16">
        <f t="shared" si="3"/>
        <v>770</v>
      </c>
      <c r="I15" s="16">
        <f t="shared" si="3"/>
        <v>984</v>
      </c>
      <c r="J15" s="16">
        <f t="shared" si="3"/>
        <v>1127</v>
      </c>
      <c r="K15" s="16">
        <f t="shared" si="3"/>
        <v>968</v>
      </c>
      <c r="L15" s="16">
        <f t="shared" si="3"/>
        <v>774</v>
      </c>
      <c r="M15" s="16">
        <f t="shared" si="3"/>
        <v>860</v>
      </c>
      <c r="N15" s="16">
        <f t="shared" si="3"/>
        <v>935</v>
      </c>
      <c r="O15" s="16">
        <f t="shared" si="3"/>
        <v>1068</v>
      </c>
      <c r="P15" s="16">
        <f t="shared" si="3"/>
        <v>1014</v>
      </c>
      <c r="Q15" s="16">
        <f t="shared" si="3"/>
        <v>896</v>
      </c>
      <c r="R15" s="16">
        <f t="shared" si="3"/>
        <v>915</v>
      </c>
      <c r="S15" s="16">
        <f t="shared" si="3"/>
        <v>608</v>
      </c>
      <c r="T15" s="16">
        <f t="shared" si="3"/>
        <v>952</v>
      </c>
      <c r="U15" s="16">
        <f t="shared" si="3"/>
        <v>774</v>
      </c>
      <c r="V15" s="16">
        <f t="shared" si="3"/>
        <v>836</v>
      </c>
      <c r="W15" s="16">
        <f t="shared" si="3"/>
        <v>640</v>
      </c>
      <c r="X15" s="16">
        <f t="shared" si="3"/>
        <v>609</v>
      </c>
      <c r="Y15" s="16">
        <f t="shared" si="3"/>
        <v>462</v>
      </c>
      <c r="Z15" s="16">
        <f t="shared" si="3"/>
        <v>506</v>
      </c>
      <c r="AA15" s="16">
        <f t="shared" si="3"/>
        <v>384</v>
      </c>
      <c r="AB15" s="16">
        <f t="shared" si="3"/>
        <v>175</v>
      </c>
      <c r="AC15" s="16">
        <f t="shared" si="3"/>
        <v>416</v>
      </c>
      <c r="AD15" s="16">
        <f t="shared" si="3"/>
        <v>270</v>
      </c>
      <c r="AE15" s="16">
        <f t="shared" si="3"/>
        <v>140</v>
      </c>
      <c r="AF15" s="16">
        <f t="shared" si="3"/>
        <v>116</v>
      </c>
    </row>
    <row r="17">
      <c r="B17" s="17" t="s">
        <v>69</v>
      </c>
      <c r="C17" s="18">
        <f>SUM(C15:AF15)/SUM(C14:AF14)</f>
        <v>4.606344475</v>
      </c>
    </row>
    <row r="18">
      <c r="B18" s="17" t="s">
        <v>70</v>
      </c>
      <c r="C18" s="19">
        <f>C14/SUM(C14:AF14)</f>
        <v>0.4287843304</v>
      </c>
      <c r="D18" s="5" t="s">
        <v>71</v>
      </c>
    </row>
    <row r="21">
      <c r="A21" s="3" t="s">
        <v>6</v>
      </c>
      <c r="B21" s="20" t="s">
        <v>6</v>
      </c>
      <c r="C21" s="21">
        <v>1.1331619E7</v>
      </c>
    </row>
    <row r="22">
      <c r="B22" s="20" t="s">
        <v>7</v>
      </c>
      <c r="C22" s="21">
        <v>10310.0</v>
      </c>
    </row>
    <row r="23">
      <c r="B23" s="20" t="s">
        <v>72</v>
      </c>
      <c r="C23" s="21">
        <f>C21/C22</f>
        <v>1099.090107</v>
      </c>
    </row>
    <row r="25">
      <c r="A25" s="3" t="s">
        <v>73</v>
      </c>
    </row>
    <row r="26">
      <c r="C26" s="5" t="s">
        <v>36</v>
      </c>
      <c r="D26" s="5" t="s">
        <v>74</v>
      </c>
    </row>
    <row r="27">
      <c r="B27" s="5" t="s">
        <v>75</v>
      </c>
      <c r="C27" s="16">
        <f>B31</f>
        <v>6402</v>
      </c>
      <c r="D27" s="12">
        <f t="shared" ref="D27:D28" si="4">C27/$C$29</f>
        <v>0.7957737725</v>
      </c>
    </row>
    <row r="28">
      <c r="B28" s="5" t="s">
        <v>76</v>
      </c>
      <c r="C28" s="16">
        <f>SUM(B32:B39)</f>
        <v>1643</v>
      </c>
      <c r="D28" s="12">
        <f t="shared" si="4"/>
        <v>0.2042262275</v>
      </c>
    </row>
    <row r="29" collapsed="1">
      <c r="B29" s="22" t="s">
        <v>77</v>
      </c>
      <c r="C29" s="23">
        <f>SUM(C27:C28)</f>
        <v>8045</v>
      </c>
    </row>
    <row r="30" hidden="1" outlineLevel="1">
      <c r="A30" s="24" t="s">
        <v>78</v>
      </c>
      <c r="B30" s="3" t="s">
        <v>48</v>
      </c>
    </row>
    <row r="31" hidden="1" outlineLevel="1">
      <c r="A31" s="5">
        <v>1.0</v>
      </c>
      <c r="B31" s="5">
        <v>6402.0</v>
      </c>
    </row>
    <row r="32" hidden="1" outlineLevel="1">
      <c r="A32" s="5">
        <v>2.0</v>
      </c>
      <c r="B32" s="5">
        <v>1225.0</v>
      </c>
    </row>
    <row r="33" hidden="1" outlineLevel="1">
      <c r="A33" s="5">
        <v>3.0</v>
      </c>
      <c r="B33" s="5">
        <v>296.0</v>
      </c>
    </row>
    <row r="34" hidden="1" outlineLevel="1">
      <c r="A34" s="5">
        <v>4.0</v>
      </c>
      <c r="B34" s="5">
        <v>83.0</v>
      </c>
    </row>
    <row r="35" hidden="1" outlineLevel="1">
      <c r="A35" s="5">
        <v>5.0</v>
      </c>
      <c r="B35" s="5">
        <v>24.0</v>
      </c>
    </row>
    <row r="36" hidden="1" outlineLevel="1">
      <c r="A36" s="5">
        <v>6.0</v>
      </c>
      <c r="B36" s="5">
        <v>11.0</v>
      </c>
    </row>
    <row r="37" hidden="1" outlineLevel="1">
      <c r="A37" s="5">
        <v>7.0</v>
      </c>
      <c r="B37" s="5">
        <v>1.0</v>
      </c>
    </row>
    <row r="38" hidden="1" outlineLevel="1">
      <c r="A38" s="5">
        <v>9.0</v>
      </c>
      <c r="B38" s="5">
        <v>2.0</v>
      </c>
    </row>
    <row r="39" hidden="1" outlineLevel="1">
      <c r="A39" s="5">
        <v>10.0</v>
      </c>
      <c r="B39" s="5">
        <v>1.0</v>
      </c>
    </row>
    <row r="40" hidden="1" outlineLevel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